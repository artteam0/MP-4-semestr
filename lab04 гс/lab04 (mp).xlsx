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уник\4 сем\МП\lab04\"/>
    </mc:Choice>
  </mc:AlternateContent>
  <xr:revisionPtr revIDLastSave="0" documentId="13_ncr:1_{E5B59E40-438B-4352-ADDC-F17A0C8DD4D4}" xr6:coauthVersionLast="47" xr6:coauthVersionMax="47" xr10:uidLastSave="{00000000-0000-0000-0000-000000000000}"/>
  <bookViews>
    <workbookView xWindow="-103" yWindow="-103" windowWidth="22149" windowHeight="13200" xr2:uid="{50AE3AC1-90AD-4731-B0AE-6EA2982E355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1" l="1"/>
  <c r="B19" i="1"/>
  <c r="B18" i="1"/>
  <c r="B17" i="1"/>
  <c r="B16" i="1"/>
  <c r="B15" i="1"/>
  <c r="B14" i="1"/>
  <c r="B10" i="1"/>
  <c r="B9" i="1"/>
  <c r="B8" i="1"/>
  <c r="B7" i="1"/>
  <c r="B4" i="1"/>
  <c r="E4" i="1"/>
  <c r="E10" i="1"/>
  <c r="E9" i="1"/>
  <c r="E8" i="1"/>
  <c r="E7" i="1"/>
</calcChain>
</file>

<file path=xl/sharedStrings.xml><?xml version="1.0" encoding="utf-8"?>
<sst xmlns="http://schemas.openxmlformats.org/spreadsheetml/2006/main" count="35" uniqueCount="19">
  <si>
    <t>Длина</t>
  </si>
  <si>
    <t>Время</t>
  </si>
  <si>
    <t>Динамическое</t>
  </si>
  <si>
    <t>Рекурсия</t>
  </si>
  <si>
    <t xml:space="preserve"> </t>
  </si>
  <si>
    <t xml:space="preserve">  </t>
  </si>
  <si>
    <t xml:space="preserve">   </t>
  </si>
  <si>
    <t>H</t>
  </si>
  <si>
    <t>R</t>
  </si>
  <si>
    <t>W</t>
  </si>
  <si>
    <t>C</t>
  </si>
  <si>
    <t>Y</t>
  </si>
  <si>
    <t>U</t>
  </si>
  <si>
    <t>J</t>
  </si>
  <si>
    <t>L</t>
  </si>
  <si>
    <t>P</t>
  </si>
  <si>
    <t>A</t>
  </si>
  <si>
    <t>+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</si>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</sst>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2" fontId="0" fillId="5" borderId="5" xfId="0" applyNumberFormat="1" applyFill="1" applyBorder="1" applyAlignment="1">
      <alignment horizontal="center"/>
    </xf>
    <xf numFmtId="2" fontId="0" fillId="2" borderId="5" xfId="0" applyNumberFormat="1" applyFill="1" applyBorder="1" applyAlignment="1">
      <alignment horizontal="center"/>
    </xf>
    <xf numFmtId="2" fontId="0" fillId="5" borderId="7" xfId="0" applyNumberFormat="1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2" fontId="0" fillId="2" borderId="7" xfId="0" applyNumberForma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2" fontId="0" fillId="7" borderId="5" xfId="0" applyNumberFormat="1" applyFill="1" applyBorder="1" applyAlignment="1">
      <alignment horizontal="center"/>
    </xf>
    <xf numFmtId="2" fontId="0" fillId="7" borderId="7" xfId="0" applyNumberFormat="1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9" borderId="8" xfId="0" applyFill="1" applyBorder="1" applyAlignment="1">
      <alignment horizontal="center"/>
    </xf>
    <xf numFmtId="0" fontId="0" fillId="11" borderId="11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12" borderId="18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14" xfId="0" applyFill="1" applyBorder="1" applyAlignment="1">
      <alignment horizontal="center"/>
    </xf>
    <xf numFmtId="0" fontId="0" fillId="12" borderId="11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13" borderId="20" xfId="0" applyFill="1" applyBorder="1" applyAlignment="1">
      <alignment horizontal="center"/>
    </xf>
    <xf numFmtId="0" fontId="0" fillId="13" borderId="17" xfId="0" applyFill="1" applyBorder="1" applyAlignment="1">
      <alignment horizontal="center"/>
    </xf>
    <xf numFmtId="0" fontId="0" fillId="13" borderId="15" xfId="0" applyFill="1" applyBorder="1" applyAlignment="1">
      <alignment horizontal="center"/>
    </xf>
    <xf numFmtId="0" fontId="0" fillId="13" borderId="16" xfId="0" applyFill="1" applyBorder="1" applyAlignment="1">
      <alignment horizontal="center"/>
    </xf>
    <xf numFmtId="0" fontId="0" fillId="14" borderId="11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</a:t>
            </a:r>
            <a:r>
              <a:rPr lang="ru-RU" baseline="0"/>
              <a:t> зависимости времени от количества символов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Лист1!$B$4:$B$10</c:f>
              <c:numCache>
                <c:formatCode>General</c:formatCode>
                <c:ptCount val="7"/>
                <c:pt idx="0">
                  <c:v>0.75</c:v>
                </c:pt>
                <c:pt idx="1">
                  <c:v>0.77777777777777779</c:v>
                </c:pt>
                <c:pt idx="2">
                  <c:v>0.8</c:v>
                </c:pt>
                <c:pt idx="3">
                  <c:v>0.81818181818181823</c:v>
                </c:pt>
                <c:pt idx="4">
                  <c:v>0.83333333333333337</c:v>
                </c:pt>
                <c:pt idx="5" formatCode="0.00">
                  <c:v>0.84615384615384615</c:v>
                </c:pt>
                <c:pt idx="6" formatCode="0.00">
                  <c:v>0.8571428571428571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71-46E4-9B03-4DFDC32861B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Лист1!$C$4:$C$10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11</c:v>
                </c:pt>
                <c:pt idx="3">
                  <c:v>59</c:v>
                </c:pt>
                <c:pt idx="4">
                  <c:v>376</c:v>
                </c:pt>
                <c:pt idx="5">
                  <c:v>1969</c:v>
                </c:pt>
                <c:pt idx="6">
                  <c:v>9867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71-46E4-9B03-4DFDC32861B6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Лист1!$B$14:$B$20</c:f>
              <c:numCache>
                <c:formatCode>General</c:formatCode>
                <c:ptCount val="7"/>
                <c:pt idx="0">
                  <c:v>0.75</c:v>
                </c:pt>
                <c:pt idx="1">
                  <c:v>0.77777777777777779</c:v>
                </c:pt>
                <c:pt idx="2" formatCode="0.00">
                  <c:v>0.8</c:v>
                </c:pt>
                <c:pt idx="3">
                  <c:v>0.81818181818181823</c:v>
                </c:pt>
                <c:pt idx="4">
                  <c:v>0.83333333333333337</c:v>
                </c:pt>
                <c:pt idx="5" formatCode="0.00">
                  <c:v>0.84615384615384615</c:v>
                </c:pt>
                <c:pt idx="6" formatCode="0.00">
                  <c:v>0.8571428571428571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71-46E4-9B03-4DFDC32861B6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Лист1!$C$14:$C$20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271-46E4-9B03-4DFDC32861B6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Лист1!$E$4:$E$10</c:f>
              <c:numCache>
                <c:formatCode>General</c:formatCode>
                <c:ptCount val="7"/>
                <c:pt idx="0">
                  <c:v>0.75</c:v>
                </c:pt>
                <c:pt idx="1">
                  <c:v>0.77777777777777779</c:v>
                </c:pt>
                <c:pt idx="2">
                  <c:v>0.8</c:v>
                </c:pt>
                <c:pt idx="3">
                  <c:v>0.81818181818181823</c:v>
                </c:pt>
                <c:pt idx="4">
                  <c:v>0.83333333333333337</c:v>
                </c:pt>
                <c:pt idx="5" formatCode="0.00">
                  <c:v>0.84615384615384615</c:v>
                </c:pt>
                <c:pt idx="6" formatCode="0.00">
                  <c:v>0.8571428571428571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271-46E4-9B03-4DFDC32861B6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Лист1!$F$4:$F$10</c:f>
              <c:numCache>
                <c:formatCode>General</c:formatCode>
                <c:ptCount val="7"/>
                <c:pt idx="0">
                  <c:v>1</c:v>
                </c:pt>
                <c:pt idx="1">
                  <c:v>3</c:v>
                </c:pt>
                <c:pt idx="2">
                  <c:v>16</c:v>
                </c:pt>
                <c:pt idx="3">
                  <c:v>100</c:v>
                </c:pt>
                <c:pt idx="4">
                  <c:v>580</c:v>
                </c:pt>
                <c:pt idx="5">
                  <c:v>2893</c:v>
                </c:pt>
                <c:pt idx="6">
                  <c:v>14705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271-46E4-9B03-4DFDC32861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0769440"/>
        <c:axId val="1891994352"/>
      </c:lineChart>
      <c:catAx>
        <c:axId val="19607694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91994352"/>
        <c:crosses val="autoZero"/>
        <c:auto val="1"/>
        <c:lblAlgn val="ctr"/>
        <c:lblOffset val="100"/>
        <c:noMultiLvlLbl val="0"/>
      </c:catAx>
      <c:valAx>
        <c:axId val="189199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60769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</a:t>
            </a:r>
            <a:r>
              <a:rPr lang="ru-RU" baseline="0"/>
              <a:t> времени от длины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Лист1!$H$23:$H$29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BE-4233-8691-1F249A8AC50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Лист1!$K$23:$K$29</c:f>
              <c:numCache>
                <c:formatCode>General</c:formatCode>
                <c:ptCount val="7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  <c:pt idx="4">
                  <c:v>6</c:v>
                </c:pt>
                <c:pt idx="5">
                  <c:v>6</c:v>
                </c:pt>
                <c:pt idx="6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BE-4233-8691-1F249A8AC5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5595503"/>
        <c:axId val="795612783"/>
      </c:lineChart>
      <c:catAx>
        <c:axId val="7955955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95612783"/>
        <c:crosses val="autoZero"/>
        <c:auto val="1"/>
        <c:lblAlgn val="ctr"/>
        <c:lblOffset val="100"/>
        <c:noMultiLvlLbl val="0"/>
      </c:catAx>
      <c:valAx>
        <c:axId val="79561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95595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269421</xdr:colOff>
      <xdr:row>1</xdr:row>
      <xdr:rowOff>19049</xdr:rowOff>
    </xdr:from>
    <xdr:to>
      <xdr:col>13</xdr:col>
      <xdr:colOff>269421</xdr:colOff>
      <xdr:row>15</xdr:row>
      <xdr:rowOff>144235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D8E9F021-54FE-396B-F284-E16556BFAE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650421</xdr:colOff>
      <xdr:row>30</xdr:row>
      <xdr:rowOff>19048</xdr:rowOff>
    </xdr:from>
    <xdr:to>
      <xdr:col>11</xdr:col>
      <xdr:colOff>650421</xdr:colOff>
      <xdr:row>44</xdr:row>
      <xdr:rowOff>171448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A7639278-294E-E7E9-E665-23A2B992FF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EA4B6-7716-43A4-9752-DFFA4ED6CFA7}">
  <dimension ref="B1:U34"/>
  <sheetViews>
    <sheetView tabSelected="1" topLeftCell="B18" zoomScaleNormal="100" workbookViewId="0">
      <selection activeCell="O37" sqref="O37"/>
    </sheetView>
  </sheetViews>
  <sheetFormatPr defaultRowHeight="14.6" x14ac:dyDescent="0.4"/>
  <sheetData>
    <row r="1" spans="2:15" ht="15" thickBot="1" x14ac:dyDescent="0.45"/>
    <row r="2" spans="2:15" ht="15" thickBot="1" x14ac:dyDescent="0.45">
      <c r="B2" s="54" t="s">
        <v>2</v>
      </c>
      <c r="C2" s="55"/>
      <c r="D2" s="1"/>
      <c r="E2" s="54" t="s">
        <v>3</v>
      </c>
      <c r="F2" s="55"/>
    </row>
    <row r="3" spans="2:15" ht="15" thickBot="1" x14ac:dyDescent="0.45">
      <c r="B3" s="2" t="s">
        <v>0</v>
      </c>
      <c r="C3" s="3" t="s">
        <v>1</v>
      </c>
      <c r="D3" s="1"/>
      <c r="E3" s="4" t="s">
        <v>0</v>
      </c>
      <c r="F3" s="5" t="s">
        <v>1</v>
      </c>
    </row>
    <row r="4" spans="2:15" x14ac:dyDescent="0.4">
      <c r="B4" s="6">
        <f>6/8</f>
        <v>0.75</v>
      </c>
      <c r="C4" s="7">
        <v>1</v>
      </c>
      <c r="D4" s="1"/>
      <c r="E4" s="8">
        <f>6/8</f>
        <v>0.75</v>
      </c>
      <c r="F4" s="9">
        <v>1</v>
      </c>
    </row>
    <row r="5" spans="2:15" x14ac:dyDescent="0.4">
      <c r="B5" s="10">
        <v>0.77777777777777779</v>
      </c>
      <c r="C5" s="11">
        <v>2</v>
      </c>
      <c r="D5" s="1"/>
      <c r="E5" s="12">
        <v>0.77777777777777779</v>
      </c>
      <c r="F5" s="13">
        <v>3</v>
      </c>
    </row>
    <row r="6" spans="2:15" x14ac:dyDescent="0.4">
      <c r="B6" s="10">
        <v>0.8</v>
      </c>
      <c r="C6" s="11">
        <v>11</v>
      </c>
      <c r="D6" s="1"/>
      <c r="E6" s="12">
        <v>0.8</v>
      </c>
      <c r="F6" s="13">
        <v>16</v>
      </c>
    </row>
    <row r="7" spans="2:15" x14ac:dyDescent="0.4">
      <c r="B7" s="10">
        <f>9/11</f>
        <v>0.81818181818181823</v>
      </c>
      <c r="C7" s="11">
        <v>59</v>
      </c>
      <c r="D7" s="1"/>
      <c r="E7" s="12">
        <f>9/11</f>
        <v>0.81818181818181823</v>
      </c>
      <c r="F7" s="13">
        <v>100</v>
      </c>
    </row>
    <row r="8" spans="2:15" x14ac:dyDescent="0.4">
      <c r="B8" s="10">
        <f>10/12</f>
        <v>0.83333333333333337</v>
      </c>
      <c r="C8" s="11">
        <v>376</v>
      </c>
      <c r="D8" s="1"/>
      <c r="E8" s="12">
        <f>10/12</f>
        <v>0.83333333333333337</v>
      </c>
      <c r="F8" s="13">
        <v>580</v>
      </c>
      <c r="O8" t="s">
        <v>4</v>
      </c>
    </row>
    <row r="9" spans="2:15" x14ac:dyDescent="0.4">
      <c r="B9" s="14">
        <f>11/13</f>
        <v>0.84615384615384615</v>
      </c>
      <c r="C9" s="11">
        <v>1969</v>
      </c>
      <c r="D9" s="1"/>
      <c r="E9" s="15">
        <f>11/13</f>
        <v>0.84615384615384615</v>
      </c>
      <c r="F9" s="13">
        <v>2893</v>
      </c>
    </row>
    <row r="10" spans="2:15" ht="15" thickBot="1" x14ac:dyDescent="0.45">
      <c r="B10" s="16">
        <f>12/14</f>
        <v>0.8571428571428571</v>
      </c>
      <c r="C10" s="17">
        <v>9867</v>
      </c>
      <c r="D10" s="1"/>
      <c r="E10" s="18">
        <f>12/14</f>
        <v>0.8571428571428571</v>
      </c>
      <c r="F10" s="19">
        <v>14705</v>
      </c>
    </row>
    <row r="11" spans="2:15" x14ac:dyDescent="0.4">
      <c r="B11" s="1"/>
      <c r="C11" s="1"/>
      <c r="D11" s="1"/>
      <c r="E11" s="1"/>
      <c r="F11" s="1"/>
    </row>
    <row r="12" spans="2:15" ht="15" thickBot="1" x14ac:dyDescent="0.45">
      <c r="B12" s="1"/>
      <c r="C12" s="1"/>
      <c r="D12" s="1"/>
      <c r="E12" s="1"/>
      <c r="F12" s="1"/>
    </row>
    <row r="13" spans="2:15" ht="15" thickBot="1" x14ac:dyDescent="0.45">
      <c r="B13" s="20" t="s">
        <v>0</v>
      </c>
      <c r="C13" s="21" t="s">
        <v>1</v>
      </c>
      <c r="D13" s="1"/>
      <c r="E13" s="1"/>
      <c r="F13" s="1"/>
    </row>
    <row r="14" spans="2:15" x14ac:dyDescent="0.4">
      <c r="B14" s="22">
        <f>6/8</f>
        <v>0.75</v>
      </c>
      <c r="C14" s="23">
        <v>0</v>
      </c>
      <c r="D14" s="1"/>
      <c r="E14" s="1"/>
      <c r="F14" s="1"/>
    </row>
    <row r="15" spans="2:15" x14ac:dyDescent="0.4">
      <c r="B15" s="24">
        <f>7/9</f>
        <v>0.77777777777777779</v>
      </c>
      <c r="C15" s="25">
        <v>0</v>
      </c>
      <c r="D15" s="1"/>
      <c r="E15" s="1"/>
      <c r="F15" s="1"/>
    </row>
    <row r="16" spans="2:15" x14ac:dyDescent="0.4">
      <c r="B16" s="26">
        <f>8/10</f>
        <v>0.8</v>
      </c>
      <c r="C16" s="25">
        <v>0</v>
      </c>
      <c r="D16" s="1"/>
      <c r="E16" s="1"/>
      <c r="F16" s="1"/>
    </row>
    <row r="17" spans="2:21" x14ac:dyDescent="0.4">
      <c r="B17" s="24">
        <f>9/11</f>
        <v>0.81818181818181823</v>
      </c>
      <c r="C17" s="25">
        <v>0</v>
      </c>
      <c r="D17" s="1"/>
      <c r="E17" s="1"/>
      <c r="F17" s="1"/>
      <c r="O17" t="s">
        <v>6</v>
      </c>
    </row>
    <row r="18" spans="2:21" x14ac:dyDescent="0.4">
      <c r="B18" s="24">
        <f>10/12</f>
        <v>0.83333333333333337</v>
      </c>
      <c r="C18" s="25">
        <v>0</v>
      </c>
      <c r="D18" s="1"/>
      <c r="E18" s="1"/>
      <c r="F18" s="1"/>
    </row>
    <row r="19" spans="2:21" x14ac:dyDescent="0.4">
      <c r="B19" s="26">
        <f>11/13</f>
        <v>0.84615384615384615</v>
      </c>
      <c r="C19" s="25">
        <v>0</v>
      </c>
      <c r="D19" s="1"/>
      <c r="E19" s="1"/>
      <c r="F19" s="1"/>
    </row>
    <row r="20" spans="2:21" ht="15" thickBot="1" x14ac:dyDescent="0.45">
      <c r="B20" s="27">
        <f>12/14</f>
        <v>0.8571428571428571</v>
      </c>
      <c r="C20" s="28">
        <v>0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 t="s">
        <v>5</v>
      </c>
      <c r="O20" s="1"/>
      <c r="P20" s="1"/>
      <c r="Q20" s="1"/>
      <c r="R20" s="1"/>
      <c r="S20" s="1"/>
      <c r="T20" s="1"/>
      <c r="U20" s="1"/>
    </row>
    <row r="21" spans="2:21" ht="15" thickBot="1" x14ac:dyDescent="0.45">
      <c r="G21" s="56" t="s">
        <v>2</v>
      </c>
      <c r="H21" s="57"/>
      <c r="I21" s="1"/>
      <c r="J21" s="56" t="s">
        <v>3</v>
      </c>
      <c r="K21" s="57"/>
      <c r="L21" s="1"/>
      <c r="M21" s="1"/>
      <c r="N21" s="41"/>
      <c r="O21" s="47" t="s">
        <v>7</v>
      </c>
      <c r="P21" s="48" t="s">
        <v>8</v>
      </c>
      <c r="Q21" s="49" t="s">
        <v>9</v>
      </c>
      <c r="R21" s="49" t="s">
        <v>10</v>
      </c>
      <c r="S21" s="48" t="s">
        <v>11</v>
      </c>
      <c r="T21" s="49" t="s">
        <v>12</v>
      </c>
      <c r="U21" s="5" t="s">
        <v>13</v>
      </c>
    </row>
    <row r="22" spans="2:21" ht="15" thickBot="1" x14ac:dyDescent="0.45">
      <c r="G22" s="29" t="s">
        <v>0</v>
      </c>
      <c r="H22" s="30" t="s">
        <v>1</v>
      </c>
      <c r="I22" s="1"/>
      <c r="J22" s="39" t="s">
        <v>0</v>
      </c>
      <c r="K22" s="40" t="s">
        <v>1</v>
      </c>
      <c r="L22" s="1"/>
      <c r="M22" s="1"/>
      <c r="N22" s="50" t="s">
        <v>9</v>
      </c>
      <c r="O22" s="42">
        <v>0</v>
      </c>
      <c r="P22" s="43">
        <v>0</v>
      </c>
      <c r="Q22" s="43">
        <v>1</v>
      </c>
      <c r="R22" s="43">
        <v>1</v>
      </c>
      <c r="S22" s="43">
        <v>1</v>
      </c>
      <c r="T22" s="43">
        <v>1</v>
      </c>
      <c r="U22" s="43">
        <v>1</v>
      </c>
    </row>
    <row r="23" spans="2:21" x14ac:dyDescent="0.4">
      <c r="G23" s="31">
        <v>1</v>
      </c>
      <c r="H23" s="32">
        <v>0</v>
      </c>
      <c r="I23" s="1"/>
      <c r="J23" s="38">
        <v>1</v>
      </c>
      <c r="K23" s="38">
        <v>2</v>
      </c>
      <c r="L23" s="1"/>
      <c r="M23" s="1" t="s">
        <v>4</v>
      </c>
      <c r="N23" s="46" t="s">
        <v>14</v>
      </c>
      <c r="O23" s="44">
        <v>0</v>
      </c>
      <c r="P23" s="45">
        <v>0</v>
      </c>
      <c r="Q23" s="45">
        <v>1</v>
      </c>
      <c r="R23" s="45">
        <v>1</v>
      </c>
      <c r="S23" s="45">
        <v>1</v>
      </c>
      <c r="T23" s="45">
        <v>1</v>
      </c>
      <c r="U23" s="45">
        <v>1</v>
      </c>
    </row>
    <row r="24" spans="2:21" x14ac:dyDescent="0.4">
      <c r="G24" s="33">
        <v>2</v>
      </c>
      <c r="H24" s="34">
        <v>0</v>
      </c>
      <c r="I24" s="1"/>
      <c r="J24" s="37">
        <v>2</v>
      </c>
      <c r="K24" s="37">
        <v>4</v>
      </c>
      <c r="L24" s="1"/>
      <c r="M24" s="1"/>
      <c r="N24" s="46" t="s">
        <v>15</v>
      </c>
      <c r="O24" s="44">
        <v>0</v>
      </c>
      <c r="P24" s="45">
        <v>0</v>
      </c>
      <c r="Q24" s="45">
        <v>1</v>
      </c>
      <c r="R24" s="45">
        <v>1</v>
      </c>
      <c r="S24" s="45">
        <v>1</v>
      </c>
      <c r="T24" s="45">
        <v>1</v>
      </c>
      <c r="U24" s="45">
        <v>1</v>
      </c>
    </row>
    <row r="25" spans="2:21" x14ac:dyDescent="0.4">
      <c r="G25" s="33">
        <v>3</v>
      </c>
      <c r="H25" s="34">
        <v>0</v>
      </c>
      <c r="I25" s="1"/>
      <c r="J25" s="37">
        <v>3</v>
      </c>
      <c r="K25" s="37">
        <v>5</v>
      </c>
      <c r="L25" s="1"/>
      <c r="M25" s="1"/>
      <c r="N25" s="51" t="s">
        <v>10</v>
      </c>
      <c r="O25" s="44">
        <v>0</v>
      </c>
      <c r="P25" s="45">
        <v>0</v>
      </c>
      <c r="Q25" s="45">
        <v>1</v>
      </c>
      <c r="R25" s="53">
        <v>2</v>
      </c>
      <c r="S25" s="45">
        <v>2</v>
      </c>
      <c r="T25" s="45">
        <v>2</v>
      </c>
      <c r="U25" s="45">
        <v>2</v>
      </c>
    </row>
    <row r="26" spans="2:21" x14ac:dyDescent="0.4">
      <c r="G26" s="33">
        <v>4</v>
      </c>
      <c r="H26" s="34">
        <v>0</v>
      </c>
      <c r="I26" s="1"/>
      <c r="J26" s="37">
        <v>4</v>
      </c>
      <c r="K26" s="37">
        <v>5</v>
      </c>
      <c r="L26" s="1"/>
      <c r="M26" s="1"/>
      <c r="N26" s="46" t="s">
        <v>16</v>
      </c>
      <c r="O26" s="44">
        <v>0</v>
      </c>
      <c r="P26" s="45">
        <v>0</v>
      </c>
      <c r="Q26" s="45">
        <v>1</v>
      </c>
      <c r="R26" s="45">
        <v>2</v>
      </c>
      <c r="S26" s="53">
        <v>2</v>
      </c>
      <c r="T26" s="45">
        <v>2</v>
      </c>
      <c r="U26" s="45">
        <v>2</v>
      </c>
    </row>
    <row r="27" spans="2:21" ht="15" thickBot="1" x14ac:dyDescent="0.45">
      <c r="G27" s="33">
        <v>5</v>
      </c>
      <c r="H27" s="34">
        <v>0</v>
      </c>
      <c r="I27" s="1"/>
      <c r="J27" s="37">
        <v>5</v>
      </c>
      <c r="K27" s="37">
        <v>6</v>
      </c>
      <c r="L27" s="1"/>
      <c r="M27" s="1"/>
      <c r="N27" s="52" t="s">
        <v>12</v>
      </c>
      <c r="O27" s="44">
        <v>0</v>
      </c>
      <c r="P27" s="45">
        <v>0</v>
      </c>
      <c r="Q27" s="45">
        <v>1</v>
      </c>
      <c r="R27" s="45">
        <v>2</v>
      </c>
      <c r="S27" s="45">
        <v>2</v>
      </c>
      <c r="T27" s="53">
        <v>3</v>
      </c>
      <c r="U27" s="53">
        <v>3</v>
      </c>
    </row>
    <row r="28" spans="2:21" x14ac:dyDescent="0.4">
      <c r="G28" s="33">
        <v>6</v>
      </c>
      <c r="H28" s="34">
        <v>0</v>
      </c>
      <c r="I28" s="1"/>
      <c r="J28" s="37">
        <v>6</v>
      </c>
      <c r="K28" s="37">
        <v>6</v>
      </c>
      <c r="L28" s="1"/>
      <c r="M28" s="1" t="s">
        <v>6</v>
      </c>
      <c r="N28" s="1"/>
      <c r="O28" s="1"/>
      <c r="P28" s="1"/>
      <c r="Q28" s="1"/>
      <c r="R28" s="1"/>
      <c r="S28" s="1"/>
      <c r="T28" s="1"/>
      <c r="U28" s="1" t="s">
        <v>4</v>
      </c>
    </row>
    <row r="29" spans="2:21" ht="15" thickBot="1" x14ac:dyDescent="0.45">
      <c r="G29" s="35">
        <v>7</v>
      </c>
      <c r="H29" s="36">
        <v>0</v>
      </c>
      <c r="I29" s="1"/>
      <c r="J29" s="37">
        <v>7</v>
      </c>
      <c r="K29" s="37">
        <v>7</v>
      </c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2:21" x14ac:dyDescent="0.4">
      <c r="G30" s="1"/>
      <c r="H30" s="1"/>
      <c r="I30" s="1"/>
      <c r="J30" s="1"/>
      <c r="K30" s="1"/>
      <c r="L30" s="1"/>
      <c r="M30" s="1"/>
    </row>
    <row r="33" spans="16:16" x14ac:dyDescent="0.4">
      <c r="P33" t="s">
        <v>17</v>
      </c>
    </row>
    <row r="34" spans="16:16" x14ac:dyDescent="0.4">
      <c r="P34" t="s">
        <v>18</v>
      </c>
    </row>
  </sheetData>
  <mergeCells count="4">
    <mergeCell ref="B2:C2"/>
    <mergeCell ref="E2:F2"/>
    <mergeCell ref="G21:H21"/>
    <mergeCell ref="J21:K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артем кулешов</dc:creator>
  <cp:lastModifiedBy>артем кулешов</cp:lastModifiedBy>
  <dcterms:created xsi:type="dcterms:W3CDTF">2025-03-28T12:56:03Z</dcterms:created>
  <dcterms:modified xsi:type="dcterms:W3CDTF">2025-03-29T09:11:22Z</dcterms:modified>
</cp:coreProperties>
</file>